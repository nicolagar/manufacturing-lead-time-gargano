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" sheetId="1" r:id="rId5"/>
    <sheet state="visible" name="FORMULA" sheetId="2" r:id="rId6"/>
    <sheet state="visible" name="WORKERS_POOL" sheetId="3" r:id="rId7"/>
    <sheet state="visible" name="Copia di PERT" sheetId="4" r:id="rId8"/>
  </sheets>
  <definedNames/>
  <calcPr/>
</workbook>
</file>

<file path=xl/sharedStrings.xml><?xml version="1.0" encoding="utf-8"?>
<sst xmlns="http://schemas.openxmlformats.org/spreadsheetml/2006/main" count="201" uniqueCount="69">
  <si>
    <t>Process</t>
  </si>
  <si>
    <t>Predecessor</t>
  </si>
  <si>
    <t>Successor</t>
  </si>
  <si>
    <t>refines</t>
  </si>
  <si>
    <t>Duration</t>
  </si>
  <si>
    <t>workload</t>
  </si>
  <si>
    <t>set_up</t>
  </si>
  <si>
    <t>workers</t>
  </si>
  <si>
    <t>Thickness</t>
  </si>
  <si>
    <t>drill_feed</t>
  </si>
  <si>
    <t>spindle_advancement</t>
  </si>
  <si>
    <t>workers_pool</t>
  </si>
  <si>
    <t>workers_distr</t>
  </si>
  <si>
    <t>F00</t>
  </si>
  <si>
    <t>NA</t>
  </si>
  <si>
    <t>F01</t>
  </si>
  <si>
    <t>LT_A</t>
  </si>
  <si>
    <t>CAT_A;CAT_B</t>
  </si>
  <si>
    <t>5;15</t>
  </si>
  <si>
    <t>F02</t>
  </si>
  <si>
    <t>LT_B</t>
  </si>
  <si>
    <t>F04</t>
  </si>
  <si>
    <t>F03</t>
  </si>
  <si>
    <t>F02;F03</t>
  </si>
  <si>
    <t>F05</t>
  </si>
  <si>
    <t>F04;F06;F11</t>
  </si>
  <si>
    <t>F07;F08</t>
  </si>
  <si>
    <t>LT_C</t>
  </si>
  <si>
    <t>F06</t>
  </si>
  <si>
    <t>F07</t>
  </si>
  <si>
    <t>F10</t>
  </si>
  <si>
    <t>INHERITED</t>
  </si>
  <si>
    <t>F08</t>
  </si>
  <si>
    <t>F09</t>
  </si>
  <si>
    <t>F07;F09</t>
  </si>
  <si>
    <t>F12;F13</t>
  </si>
  <si>
    <t>F11</t>
  </si>
  <si>
    <t>F12</t>
  </si>
  <si>
    <t>F14</t>
  </si>
  <si>
    <t>F13</t>
  </si>
  <si>
    <t>F15;F17</t>
  </si>
  <si>
    <t>STOP</t>
  </si>
  <si>
    <t>F15</t>
  </si>
  <si>
    <t>F16</t>
  </si>
  <si>
    <t>F17</t>
  </si>
  <si>
    <t>F07_01</t>
  </si>
  <si>
    <t>F07_03</t>
  </si>
  <si>
    <t>F07_02</t>
  </si>
  <si>
    <t>F07_04</t>
  </si>
  <si>
    <t>F07_04;F07_05</t>
  </si>
  <si>
    <t>F07_03;F07_02</t>
  </si>
  <si>
    <t>F07_05</t>
  </si>
  <si>
    <t>F07_04_01</t>
  </si>
  <si>
    <t>F07_04_02</t>
  </si>
  <si>
    <t>F07_04_03</t>
  </si>
  <si>
    <t>Formula_Name</t>
  </si>
  <si>
    <t>Equation</t>
  </si>
  <si>
    <t>FOM</t>
  </si>
  <si>
    <t>(workload*workers)+set_up</t>
  </si>
  <si>
    <t>Lead Time</t>
  </si>
  <si>
    <t>workers*workers</t>
  </si>
  <si>
    <t>Thickness/(drill_feed*spindle_advancement)</t>
  </si>
  <si>
    <t>RC_A</t>
  </si>
  <si>
    <t>RC</t>
  </si>
  <si>
    <t>TYPE</t>
  </si>
  <si>
    <t>par01</t>
  </si>
  <si>
    <t>par02</t>
  </si>
  <si>
    <t>CAT_A</t>
  </si>
  <si>
    <t>CAT_B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</si>
</sst>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/>
      <c r="E2" s="1" t="s">
        <v>16</v>
      </c>
      <c r="F2" s="1">
        <v>100.0</v>
      </c>
      <c r="G2" s="1">
        <v>10.0</v>
      </c>
      <c r="H2" s="1">
        <v>20.0</v>
      </c>
      <c r="I2" s="1"/>
      <c r="J2" s="1">
        <v>99.0</v>
      </c>
      <c r="K2" s="1"/>
      <c r="L2" s="1" t="s">
        <v>17</v>
      </c>
      <c r="M2" s="1" t="s">
        <v>18</v>
      </c>
    </row>
    <row r="3">
      <c r="A3" s="1" t="s">
        <v>15</v>
      </c>
      <c r="B3" s="1" t="s">
        <v>13</v>
      </c>
      <c r="C3" s="1" t="s">
        <v>19</v>
      </c>
      <c r="D3" s="1"/>
      <c r="E3" s="1" t="s">
        <v>20</v>
      </c>
      <c r="H3" s="1">
        <v>10.0</v>
      </c>
    </row>
    <row r="4">
      <c r="A4" s="1" t="s">
        <v>19</v>
      </c>
      <c r="B4" s="1" t="s">
        <v>15</v>
      </c>
      <c r="C4" s="1" t="s">
        <v>21</v>
      </c>
      <c r="D4" s="1"/>
      <c r="E4" s="1">
        <v>99.0</v>
      </c>
    </row>
    <row r="5">
      <c r="A5" s="1" t="s">
        <v>22</v>
      </c>
      <c r="B5" s="1" t="s">
        <v>14</v>
      </c>
      <c r="C5" s="1" t="s">
        <v>21</v>
      </c>
      <c r="D5" s="1"/>
      <c r="E5" s="1">
        <v>113.0</v>
      </c>
    </row>
    <row r="6">
      <c r="A6" s="1" t="s">
        <v>21</v>
      </c>
      <c r="B6" s="1" t="s">
        <v>23</v>
      </c>
      <c r="C6" s="1" t="s">
        <v>24</v>
      </c>
      <c r="D6" s="1"/>
      <c r="E6" s="1">
        <v>192.0</v>
      </c>
    </row>
    <row r="7">
      <c r="A7" s="1" t="s">
        <v>24</v>
      </c>
      <c r="B7" s="1" t="s">
        <v>25</v>
      </c>
      <c r="C7" s="1" t="s">
        <v>26</v>
      </c>
      <c r="D7" s="1"/>
      <c r="E7" s="1" t="s">
        <v>27</v>
      </c>
      <c r="I7" s="1">
        <v>300.0</v>
      </c>
      <c r="J7" s="1">
        <v>1.0</v>
      </c>
      <c r="K7" s="1">
        <v>2.0</v>
      </c>
    </row>
    <row r="8">
      <c r="A8" s="1" t="s">
        <v>28</v>
      </c>
      <c r="B8" s="1" t="s">
        <v>14</v>
      </c>
      <c r="C8" s="1" t="s">
        <v>24</v>
      </c>
      <c r="D8" s="1"/>
      <c r="E8" s="1">
        <v>192.0</v>
      </c>
    </row>
    <row r="9">
      <c r="A9" s="1" t="s">
        <v>29</v>
      </c>
      <c r="B9" s="1" t="s">
        <v>24</v>
      </c>
      <c r="C9" s="1" t="s">
        <v>30</v>
      </c>
      <c r="D9" s="1"/>
      <c r="E9" s="1" t="s">
        <v>31</v>
      </c>
    </row>
    <row r="10">
      <c r="A10" s="1" t="s">
        <v>32</v>
      </c>
      <c r="B10" s="1" t="s">
        <v>24</v>
      </c>
      <c r="C10" s="1" t="s">
        <v>33</v>
      </c>
      <c r="D10" s="1"/>
      <c r="E10" s="1">
        <v>194.0</v>
      </c>
    </row>
    <row r="11">
      <c r="A11" s="1" t="s">
        <v>33</v>
      </c>
      <c r="B11" s="1" t="s">
        <v>32</v>
      </c>
      <c r="C11" s="1" t="s">
        <v>30</v>
      </c>
      <c r="D11" s="1"/>
      <c r="E11" s="1">
        <v>65.0</v>
      </c>
    </row>
    <row r="12">
      <c r="A12" s="1" t="s">
        <v>30</v>
      </c>
      <c r="B12" s="1" t="s">
        <v>34</v>
      </c>
      <c r="C12" s="1" t="s">
        <v>35</v>
      </c>
      <c r="D12" s="1"/>
      <c r="E12" s="1">
        <v>52.0</v>
      </c>
    </row>
    <row r="13">
      <c r="A13" s="1" t="s">
        <v>36</v>
      </c>
      <c r="B13" s="1" t="s">
        <v>14</v>
      </c>
      <c r="C13" s="1" t="s">
        <v>24</v>
      </c>
      <c r="D13" s="1"/>
      <c r="E13" s="1">
        <v>116.0</v>
      </c>
    </row>
    <row r="14">
      <c r="A14" s="1" t="s">
        <v>37</v>
      </c>
      <c r="B14" s="1" t="s">
        <v>30</v>
      </c>
      <c r="C14" s="1" t="s">
        <v>38</v>
      </c>
      <c r="D14" s="1"/>
      <c r="E14" s="1">
        <v>177.0</v>
      </c>
    </row>
    <row r="15">
      <c r="A15" s="1" t="s">
        <v>39</v>
      </c>
      <c r="B15" s="1" t="s">
        <v>30</v>
      </c>
      <c r="C15" s="1" t="s">
        <v>40</v>
      </c>
      <c r="D15" s="1"/>
      <c r="E15" s="1">
        <v>35.0</v>
      </c>
    </row>
    <row r="16">
      <c r="A16" s="1" t="s">
        <v>38</v>
      </c>
      <c r="B16" s="1" t="s">
        <v>37</v>
      </c>
      <c r="C16" s="1" t="s">
        <v>41</v>
      </c>
      <c r="D16" s="1"/>
      <c r="E16" s="1" t="s">
        <v>16</v>
      </c>
      <c r="F16" s="1">
        <v>200.0</v>
      </c>
      <c r="G16" s="1">
        <v>10.0</v>
      </c>
      <c r="H16" s="1">
        <v>50.0</v>
      </c>
    </row>
    <row r="17">
      <c r="A17" s="1" t="s">
        <v>42</v>
      </c>
      <c r="B17" s="1" t="s">
        <v>39</v>
      </c>
      <c r="C17" s="1" t="s">
        <v>43</v>
      </c>
      <c r="D17" s="1"/>
      <c r="E17" s="1">
        <v>29.0</v>
      </c>
    </row>
    <row r="18">
      <c r="A18" s="1" t="s">
        <v>43</v>
      </c>
      <c r="B18" s="1" t="s">
        <v>42</v>
      </c>
      <c r="C18" s="1" t="s">
        <v>41</v>
      </c>
      <c r="D18" s="1"/>
      <c r="E18" s="1">
        <v>25.0</v>
      </c>
    </row>
    <row r="19">
      <c r="A19" s="1" t="s">
        <v>44</v>
      </c>
      <c r="B19" s="1" t="s">
        <v>39</v>
      </c>
      <c r="C19" s="1" t="s">
        <v>41</v>
      </c>
      <c r="D19" s="1"/>
      <c r="E19" s="1">
        <v>187.0</v>
      </c>
    </row>
    <row r="20">
      <c r="A20" s="1" t="s">
        <v>45</v>
      </c>
      <c r="B20" s="1" t="s">
        <v>14</v>
      </c>
      <c r="C20" s="1" t="s">
        <v>46</v>
      </c>
      <c r="D20" s="1" t="s">
        <v>29</v>
      </c>
      <c r="E20" s="1" t="s">
        <v>16</v>
      </c>
      <c r="F20" s="1">
        <v>2.0</v>
      </c>
      <c r="G20" s="1">
        <v>33.0</v>
      </c>
      <c r="H20" s="1">
        <v>20.0</v>
      </c>
    </row>
    <row r="21">
      <c r="A21" s="1" t="s">
        <v>47</v>
      </c>
      <c r="B21" s="1" t="s">
        <v>14</v>
      </c>
      <c r="C21" s="1" t="s">
        <v>48</v>
      </c>
      <c r="D21" s="1" t="s">
        <v>29</v>
      </c>
      <c r="E21" s="1" t="s">
        <v>16</v>
      </c>
      <c r="F21" s="1">
        <v>1.0</v>
      </c>
      <c r="G21" s="1">
        <v>22.0</v>
      </c>
      <c r="H21" s="1">
        <v>3.0</v>
      </c>
    </row>
    <row r="22">
      <c r="A22" s="1" t="s">
        <v>46</v>
      </c>
      <c r="B22" s="1" t="s">
        <v>45</v>
      </c>
      <c r="C22" s="1" t="s">
        <v>49</v>
      </c>
      <c r="D22" s="1" t="s">
        <v>29</v>
      </c>
      <c r="E22" s="1">
        <v>333.0</v>
      </c>
    </row>
    <row r="23">
      <c r="A23" s="1" t="s">
        <v>48</v>
      </c>
      <c r="B23" s="1" t="s">
        <v>50</v>
      </c>
      <c r="C23" s="1" t="s">
        <v>41</v>
      </c>
      <c r="D23" s="1" t="s">
        <v>29</v>
      </c>
      <c r="E23" s="1" t="s">
        <v>31</v>
      </c>
    </row>
    <row r="24">
      <c r="A24" s="1" t="s">
        <v>51</v>
      </c>
      <c r="B24" s="1" t="s">
        <v>46</v>
      </c>
      <c r="C24" s="1" t="s">
        <v>41</v>
      </c>
      <c r="D24" s="1" t="s">
        <v>29</v>
      </c>
      <c r="E24" s="1">
        <v>20.0</v>
      </c>
    </row>
    <row r="25">
      <c r="A25" s="1" t="s">
        <v>52</v>
      </c>
      <c r="B25" s="1" t="s">
        <v>14</v>
      </c>
      <c r="C25" s="1" t="s">
        <v>53</v>
      </c>
      <c r="D25" s="1" t="s">
        <v>48</v>
      </c>
      <c r="E25" s="1" t="s">
        <v>16</v>
      </c>
      <c r="F25" s="1">
        <v>22.0</v>
      </c>
      <c r="G25" s="1">
        <v>33.0</v>
      </c>
      <c r="H25" s="1">
        <v>20.0</v>
      </c>
    </row>
    <row r="26">
      <c r="A26" s="1" t="s">
        <v>53</v>
      </c>
      <c r="B26" s="1" t="s">
        <v>52</v>
      </c>
      <c r="C26" s="1" t="s">
        <v>54</v>
      </c>
      <c r="D26" s="1" t="s">
        <v>48</v>
      </c>
      <c r="E26" s="1">
        <v>21.0</v>
      </c>
    </row>
    <row r="27">
      <c r="A27" s="1" t="s">
        <v>54</v>
      </c>
      <c r="B27" s="1" t="s">
        <v>53</v>
      </c>
      <c r="C27" s="1" t="s">
        <v>41</v>
      </c>
      <c r="D27" s="1" t="s">
        <v>48</v>
      </c>
      <c r="E27" s="1">
        <v>444.0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</cols>
  <sheetData>
    <row r="1">
      <c r="A1" s="1" t="s">
        <v>55</v>
      </c>
      <c r="B1" s="1" t="s">
        <v>56</v>
      </c>
      <c r="C1" s="1" t="s">
        <v>57</v>
      </c>
    </row>
    <row r="2">
      <c r="A2" s="1" t="s">
        <v>16</v>
      </c>
      <c r="B2" s="1" t="s">
        <v>58</v>
      </c>
      <c r="C2" s="1" t="s">
        <v>59</v>
      </c>
    </row>
    <row r="3">
      <c r="A3" s="1" t="s">
        <v>20</v>
      </c>
      <c r="B3" s="1" t="s">
        <v>60</v>
      </c>
      <c r="C3" s="1" t="s">
        <v>59</v>
      </c>
    </row>
    <row r="4">
      <c r="A4" s="1" t="s">
        <v>27</v>
      </c>
      <c r="B4" s="1" t="s">
        <v>61</v>
      </c>
      <c r="C4" s="1" t="s">
        <v>59</v>
      </c>
    </row>
    <row r="5">
      <c r="A5" s="1" t="s">
        <v>62</v>
      </c>
      <c r="C5" s="1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</row>
    <row r="2">
      <c r="A2" s="1" t="s">
        <v>67</v>
      </c>
      <c r="B2" s="1">
        <v>10.0</v>
      </c>
      <c r="C2" s="1">
        <v>3.0</v>
      </c>
    </row>
    <row r="3">
      <c r="A3" s="1" t="s">
        <v>68</v>
      </c>
      <c r="B3" s="1">
        <v>100.0</v>
      </c>
      <c r="C3" s="1">
        <v>22.0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1">
        <f t="shared" ref="D1:D18" si="1">roundup(RANDBETWEEN(1,200),0)</f>
        <v>2</v>
      </c>
    </row>
    <row r="2">
      <c r="A2" s="1" t="s">
        <v>15</v>
      </c>
      <c r="B2" s="1" t="s">
        <v>13</v>
      </c>
      <c r="C2" s="1" t="s">
        <v>19</v>
      </c>
      <c r="D2" s="1">
        <f t="shared" si="1"/>
        <v>13</v>
      </c>
      <c r="G2" s="2" t="s">
        <v>13</v>
      </c>
      <c r="H2" s="2" t="s">
        <v>15</v>
      </c>
      <c r="I2" s="2" t="s">
        <v>19</v>
      </c>
      <c r="J2" s="1" t="s">
        <v>21</v>
      </c>
      <c r="K2" s="1" t="s">
        <v>24</v>
      </c>
      <c r="L2" s="1" t="s">
        <v>29</v>
      </c>
      <c r="N2" s="1" t="s">
        <v>30</v>
      </c>
      <c r="O2" s="3" t="s">
        <v>37</v>
      </c>
      <c r="P2" s="3" t="s">
        <v>38</v>
      </c>
    </row>
    <row r="3">
      <c r="A3" s="1" t="s">
        <v>19</v>
      </c>
      <c r="B3" s="1" t="s">
        <v>15</v>
      </c>
      <c r="C3" s="1" t="s">
        <v>21</v>
      </c>
      <c r="D3" s="1">
        <f t="shared" si="1"/>
        <v>22</v>
      </c>
      <c r="I3" s="4" t="s">
        <v>22</v>
      </c>
      <c r="L3" s="5" t="s">
        <v>32</v>
      </c>
      <c r="M3" s="5" t="s">
        <v>33</v>
      </c>
      <c r="O3" s="1" t="s">
        <v>39</v>
      </c>
      <c r="P3" s="6" t="s">
        <v>42</v>
      </c>
      <c r="Q3" s="6" t="s">
        <v>43</v>
      </c>
    </row>
    <row r="4">
      <c r="A4" s="1" t="s">
        <v>22</v>
      </c>
      <c r="B4" s="1" t="s">
        <v>14</v>
      </c>
      <c r="C4" s="1" t="s">
        <v>21</v>
      </c>
      <c r="D4" s="1">
        <f t="shared" si="1"/>
        <v>177</v>
      </c>
      <c r="J4" s="1" t="s">
        <v>28</v>
      </c>
      <c r="P4" s="1" t="s">
        <v>44</v>
      </c>
    </row>
    <row r="5">
      <c r="A5" s="1" t="s">
        <v>21</v>
      </c>
      <c r="B5" s="1" t="s">
        <v>23</v>
      </c>
      <c r="C5" s="1" t="s">
        <v>24</v>
      </c>
      <c r="D5" s="1">
        <f t="shared" si="1"/>
        <v>179</v>
      </c>
      <c r="J5" s="1" t="s">
        <v>36</v>
      </c>
    </row>
    <row r="6">
      <c r="A6" s="1" t="s">
        <v>24</v>
      </c>
      <c r="B6" s="1" t="s">
        <v>25</v>
      </c>
      <c r="C6" s="1" t="s">
        <v>29</v>
      </c>
      <c r="D6" s="1">
        <f t="shared" si="1"/>
        <v>167</v>
      </c>
    </row>
    <row r="7">
      <c r="A7" s="1" t="s">
        <v>28</v>
      </c>
      <c r="B7" s="1" t="s">
        <v>14</v>
      </c>
      <c r="C7" s="1" t="s">
        <v>24</v>
      </c>
      <c r="D7" s="1">
        <f t="shared" si="1"/>
        <v>174</v>
      </c>
    </row>
    <row r="8">
      <c r="A8" s="1" t="s">
        <v>29</v>
      </c>
      <c r="B8" s="1" t="s">
        <v>24</v>
      </c>
      <c r="C8" s="1" t="s">
        <v>30</v>
      </c>
      <c r="D8" s="1">
        <f t="shared" si="1"/>
        <v>85</v>
      </c>
    </row>
    <row r="9">
      <c r="A9" s="1" t="s">
        <v>32</v>
      </c>
      <c r="B9" s="1" t="s">
        <v>24</v>
      </c>
      <c r="C9" s="1" t="s">
        <v>33</v>
      </c>
      <c r="D9" s="1">
        <f t="shared" si="1"/>
        <v>190</v>
      </c>
    </row>
    <row r="10">
      <c r="A10" s="1" t="s">
        <v>33</v>
      </c>
      <c r="B10" s="1" t="s">
        <v>32</v>
      </c>
      <c r="C10" s="1" t="s">
        <v>30</v>
      </c>
      <c r="D10" s="1">
        <f t="shared" si="1"/>
        <v>164</v>
      </c>
    </row>
    <row r="11">
      <c r="A11" s="1" t="s">
        <v>30</v>
      </c>
      <c r="B11" s="1" t="s">
        <v>34</v>
      </c>
      <c r="C11" s="1" t="s">
        <v>35</v>
      </c>
      <c r="D11" s="1">
        <f t="shared" si="1"/>
        <v>171</v>
      </c>
    </row>
    <row r="12">
      <c r="A12" s="1" t="s">
        <v>36</v>
      </c>
      <c r="B12" s="1" t="s">
        <v>14</v>
      </c>
      <c r="C12" s="1" t="s">
        <v>24</v>
      </c>
      <c r="D12" s="1">
        <f t="shared" si="1"/>
        <v>39</v>
      </c>
    </row>
    <row r="13">
      <c r="A13" s="1" t="s">
        <v>37</v>
      </c>
      <c r="B13" s="1" t="s">
        <v>30</v>
      </c>
      <c r="C13" s="1" t="s">
        <v>38</v>
      </c>
      <c r="D13" s="1">
        <f t="shared" si="1"/>
        <v>50</v>
      </c>
    </row>
    <row r="14">
      <c r="A14" s="1" t="s">
        <v>39</v>
      </c>
      <c r="B14" s="1" t="s">
        <v>30</v>
      </c>
      <c r="C14" s="1" t="s">
        <v>40</v>
      </c>
      <c r="D14" s="1">
        <f t="shared" si="1"/>
        <v>45</v>
      </c>
    </row>
    <row r="15">
      <c r="A15" s="1" t="s">
        <v>38</v>
      </c>
      <c r="B15" s="1" t="s">
        <v>37</v>
      </c>
      <c r="C15" s="1" t="s">
        <v>41</v>
      </c>
      <c r="D15" s="1">
        <f t="shared" si="1"/>
        <v>75</v>
      </c>
    </row>
    <row r="16">
      <c r="A16" s="1" t="s">
        <v>42</v>
      </c>
      <c r="B16" s="1" t="s">
        <v>39</v>
      </c>
      <c r="C16" s="1" t="s">
        <v>43</v>
      </c>
      <c r="D16" s="1">
        <f t="shared" si="1"/>
        <v>51</v>
      </c>
    </row>
    <row r="17">
      <c r="A17" s="1" t="s">
        <v>43</v>
      </c>
      <c r="B17" s="1" t="s">
        <v>42</v>
      </c>
      <c r="C17" s="1" t="s">
        <v>41</v>
      </c>
      <c r="D17" s="1">
        <f t="shared" si="1"/>
        <v>179</v>
      </c>
    </row>
    <row r="18">
      <c r="A18" s="1" t="s">
        <v>44</v>
      </c>
      <c r="B18" s="1" t="s">
        <v>39</v>
      </c>
      <c r="C18" s="1" t="s">
        <v>41</v>
      </c>
      <c r="D18" s="1">
        <f t="shared" si="1"/>
        <v>73</v>
      </c>
    </row>
  </sheetData>
  <drawing r:id="rId1"/>
</worksheet>
</file>